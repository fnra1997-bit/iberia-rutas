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<sst xmlns="http://schemas.openxmlformats.org/spreadsheetml/2006/main" count="105" uniqueCount="69">
  <si>
    <t>PRECIO BASE</t>
  </si>
  <si>
    <t>TASA IVA</t>
  </si>
  <si>
    <t>MARGEN SOBRE COSTO</t>
  </si>
  <si>
    <t>FOB/ precio base</t>
  </si>
  <si>
    <t>SUPUESTOS</t>
  </si>
  <si>
    <t>VALOR</t>
  </si>
  <si>
    <t>Flete/FOB</t>
  </si>
  <si>
    <t>MARGEN DEL VENDEDOR</t>
  </si>
  <si>
    <t>Seguro/FOB</t>
  </si>
  <si>
    <t>PRECIO LOTE ZOFRI</t>
  </si>
  <si>
    <t>TASA AD VALOREM</t>
  </si>
  <si>
    <t>FOB ESTIMADO</t>
  </si>
  <si>
    <t>CIF DOCUMENTADO</t>
  </si>
  <si>
    <t>IVA IMPORTACION</t>
  </si>
  <si>
    <t>FLETE</t>
  </si>
  <si>
    <t>CIF usado sólo como supuesto para el ejercicio. Reemplazar por CIF real documentado de la mercancía</t>
  </si>
  <si>
    <t>SEGURO</t>
  </si>
  <si>
    <t>TASA ART. 11</t>
  </si>
  <si>
    <t>PREFERENCIA ARANCELARIA TLC</t>
  </si>
  <si>
    <t xml:space="preserve">CIF </t>
  </si>
  <si>
    <t>PLAZO PAGO PROVEEDOR NACIONAL</t>
  </si>
  <si>
    <t>DIAS</t>
  </si>
  <si>
    <t>PLAZO COBRO CLIENTE</t>
  </si>
  <si>
    <t>RUTA B: COMPRA ZOFRI</t>
  </si>
  <si>
    <t>VENTA</t>
  </si>
  <si>
    <t>RUTA C: IMPORTACION DIRECTA A ARICA</t>
  </si>
  <si>
    <t>RUTA A: COMPRA NACIONAL</t>
  </si>
  <si>
    <t>PRECIO ZOFRI</t>
  </si>
  <si>
    <t>VENTA NETA</t>
  </si>
  <si>
    <t xml:space="preserve">FOB PROVEEDOR EXTRANJERO       </t>
  </si>
  <si>
    <t>PRECIO COMPRA NACIONAL</t>
  </si>
  <si>
    <t>IVA CF * (-)</t>
  </si>
  <si>
    <t>IVA DF</t>
  </si>
  <si>
    <t>IVA CF</t>
  </si>
  <si>
    <t>ART 11 (0,33%) * (-)</t>
  </si>
  <si>
    <t>CAJA INICIAL</t>
  </si>
  <si>
    <t>ENTRADA DE CAJA</t>
  </si>
  <si>
    <t>ENTRADA A CAJA</t>
  </si>
  <si>
    <t>CIF</t>
  </si>
  <si>
    <t>F29 (IVA DF - IVA CF - ART 11)</t>
  </si>
  <si>
    <t>DERECHO AD VALOREM</t>
  </si>
  <si>
    <t>F29 (IVA DF - IVA CF)</t>
  </si>
  <si>
    <t>FLUJO DE CAJA</t>
  </si>
  <si>
    <t>BASE DE IVA IMPORTACION</t>
  </si>
  <si>
    <t>IVA DE IMPORTACION (19%)</t>
  </si>
  <si>
    <t>COMPRA</t>
  </si>
  <si>
    <t>PAGO PROVEEDOR</t>
  </si>
  <si>
    <t>COBRO VENTA</t>
  </si>
  <si>
    <t>F29</t>
  </si>
  <si>
    <t>FLUJO NETO DE LA OP.</t>
  </si>
  <si>
    <t xml:space="preserve">IVA CF IMPORTACIÓN        </t>
  </si>
  <si>
    <t>EERR</t>
  </si>
  <si>
    <t>F29 (IVA DF - IVA CF IMPORTACIÓN)</t>
  </si>
  <si>
    <t xml:space="preserve">VENTAS </t>
  </si>
  <si>
    <t>COSTO DE VENTA</t>
  </si>
  <si>
    <t>UTILIDAD BRUTA</t>
  </si>
  <si>
    <t>INDICADORES DE LIQUIDEZ</t>
  </si>
  <si>
    <t>CAJA INICIAL REQUERIDA</t>
  </si>
  <si>
    <t>CAJA INICIAL REQUERID</t>
  </si>
  <si>
    <t>de la cual: Art. 11 adelantado</t>
  </si>
  <si>
    <t>de la cual: IVA adelantado</t>
  </si>
  <si>
    <t>Art. 11/ compra neta</t>
  </si>
  <si>
    <t>IVA adelantado/ compra</t>
  </si>
  <si>
    <t>PLAZO PAGO PROVEEDOR</t>
  </si>
  <si>
    <t>DÍAS A FINANCIAR</t>
  </si>
  <si>
    <t>CAPITAL A FINANCIAR</t>
  </si>
  <si>
    <t>de la cual: IVA IMPORTACION</t>
  </si>
  <si>
    <t>de la cual: DERECHO AD VALOREM</t>
  </si>
  <si>
    <t>AD VALOREM/CIF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</si>
</sst>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$]#,##0"/>
    <numFmt numFmtId="165" formatCode="0.000%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i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164" xfId="0" applyFont="1" applyNumberFormat="1"/>
    <xf borderId="0" fillId="0" fontId="1" numFmtId="10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0" fontId="1" numFmtId="165" xfId="0" applyAlignment="1" applyFont="1" applyNumberFormat="1">
      <alignment readingOrder="0"/>
    </xf>
    <xf borderId="0" fillId="0" fontId="1" numFmtId="0" xfId="0" applyFont="1"/>
    <xf borderId="0" fillId="0" fontId="1" numFmtId="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Relationship Id="rId3" Type="http://schemas.openxmlformats.org/officeDocument/2006/relationships/image" Target="../media/image5.png"/><Relationship Id="rId4" Type="http://schemas.openxmlformats.org/officeDocument/2006/relationships/image" Target="../media/image2.png"/><Relationship Id="rId5" Type="http://schemas.openxmlformats.org/officeDocument/2006/relationships/image" Target="../media/image4.png"/><Relationship Id="rId6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552450</xdr:colOff>
      <xdr:row>82</xdr:row>
      <xdr:rowOff>180975</xdr:rowOff>
    </xdr:from>
    <xdr:ext cx="4876800" cy="45815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561975</xdr:colOff>
      <xdr:row>105</xdr:row>
      <xdr:rowOff>104775</xdr:rowOff>
    </xdr:from>
    <xdr:ext cx="3086100" cy="4400550"/>
    <xdr:pic>
      <xdr:nvPicPr>
        <xdr:cNvPr id="0" name="image3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800100</xdr:colOff>
      <xdr:row>152</xdr:row>
      <xdr:rowOff>180975</xdr:rowOff>
    </xdr:from>
    <xdr:ext cx="6524625" cy="1504950"/>
    <xdr:pic>
      <xdr:nvPicPr>
        <xdr:cNvPr id="0" name="image5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857250</xdr:colOff>
      <xdr:row>127</xdr:row>
      <xdr:rowOff>19050</xdr:rowOff>
    </xdr:from>
    <xdr:ext cx="6076950" cy="5114925"/>
    <xdr:pic>
      <xdr:nvPicPr>
        <xdr:cNvPr id="0" name="image2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83</xdr:row>
      <xdr:rowOff>123825</xdr:rowOff>
    </xdr:from>
    <xdr:ext cx="4467225" cy="8172450"/>
    <xdr:pic>
      <xdr:nvPicPr>
        <xdr:cNvPr id="0" name="image4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76200</xdr:colOff>
      <xdr:row>90</xdr:row>
      <xdr:rowOff>47625</xdr:rowOff>
    </xdr:from>
    <xdr:ext cx="2181225" cy="6381750"/>
    <xdr:pic>
      <xdr:nvPicPr>
        <xdr:cNvPr id="0" name="image6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  <col customWidth="1" min="4" max="4" width="15.25"/>
    <col customWidth="1" min="7" max="7" width="24.38"/>
    <col customWidth="1" min="10" max="10" width="16.5"/>
    <col customWidth="1" min="13" max="13" width="34.38"/>
  </cols>
  <sheetData>
    <row r="39">
      <c r="A39" s="1" t="s">
        <v>0</v>
      </c>
      <c r="B39" s="2">
        <v>100000.0</v>
      </c>
    </row>
    <row r="40">
      <c r="A40" s="1" t="s">
        <v>1</v>
      </c>
      <c r="B40" s="3">
        <v>0.19</v>
      </c>
    </row>
    <row r="41">
      <c r="A41" s="1" t="s">
        <v>2</v>
      </c>
      <c r="B41" s="3">
        <v>0.1</v>
      </c>
    </row>
    <row r="42">
      <c r="A42" s="1" t="s">
        <v>3</v>
      </c>
      <c r="B42" s="3">
        <v>0.8</v>
      </c>
      <c r="G42" s="1" t="s">
        <v>4</v>
      </c>
      <c r="H42" s="1" t="s">
        <v>5</v>
      </c>
    </row>
    <row r="43">
      <c r="A43" s="1" t="s">
        <v>6</v>
      </c>
      <c r="B43" s="3">
        <v>0.24</v>
      </c>
      <c r="G43" s="1" t="s">
        <v>7</v>
      </c>
      <c r="H43" s="3">
        <v>0.09</v>
      </c>
      <c r="M43" s="1" t="s">
        <v>4</v>
      </c>
      <c r="N43" s="1" t="s">
        <v>5</v>
      </c>
    </row>
    <row r="44">
      <c r="A44" s="1" t="s">
        <v>8</v>
      </c>
      <c r="B44" s="3">
        <v>0.01</v>
      </c>
      <c r="G44" s="1" t="s">
        <v>9</v>
      </c>
      <c r="H44" s="2">
        <f>B39*(1+H43)</f>
        <v>109000</v>
      </c>
      <c r="M44" s="1" t="s">
        <v>10</v>
      </c>
      <c r="N44" s="3">
        <v>0.06</v>
      </c>
    </row>
    <row r="45">
      <c r="A45" s="4" t="s">
        <v>11</v>
      </c>
      <c r="B45" s="2">
        <f>B39*B42</f>
        <v>80000</v>
      </c>
      <c r="G45" s="1" t="s">
        <v>12</v>
      </c>
      <c r="H45" s="2">
        <f>B48</f>
        <v>100000</v>
      </c>
      <c r="M45" s="1" t="s">
        <v>13</v>
      </c>
      <c r="N45" s="3">
        <v>0.19</v>
      </c>
    </row>
    <row r="46">
      <c r="A46" s="1" t="s">
        <v>14</v>
      </c>
      <c r="B46" s="5">
        <f>B45*B43</f>
        <v>19200</v>
      </c>
      <c r="G46" s="4" t="s">
        <v>15</v>
      </c>
    </row>
    <row r="47">
      <c r="A47" s="1" t="s">
        <v>16</v>
      </c>
      <c r="B47" s="5">
        <f>B45*B44</f>
        <v>800</v>
      </c>
      <c r="G47" s="1" t="s">
        <v>17</v>
      </c>
      <c r="H47" s="6">
        <v>0.0033</v>
      </c>
      <c r="M47" s="1" t="s">
        <v>18</v>
      </c>
      <c r="N47" s="3">
        <v>0.9</v>
      </c>
    </row>
    <row r="48">
      <c r="A48" s="1" t="s">
        <v>19</v>
      </c>
      <c r="B48" s="5">
        <f>SUM(B45:B47)</f>
        <v>100000</v>
      </c>
    </row>
    <row r="49">
      <c r="A49" s="1" t="s">
        <v>20</v>
      </c>
      <c r="B49" s="1">
        <v>0.0</v>
      </c>
      <c r="C49" s="1" t="s">
        <v>21</v>
      </c>
    </row>
    <row r="50">
      <c r="A50" s="1" t="s">
        <v>22</v>
      </c>
      <c r="B50" s="1">
        <v>0.0</v>
      </c>
      <c r="C50" s="1" t="s">
        <v>21</v>
      </c>
    </row>
    <row r="51">
      <c r="G51" s="1" t="s">
        <v>23</v>
      </c>
      <c r="H51" s="1"/>
      <c r="J51" s="1" t="s">
        <v>24</v>
      </c>
      <c r="M51" s="1" t="s">
        <v>25</v>
      </c>
      <c r="N51" s="1"/>
      <c r="P51" s="1" t="s">
        <v>24</v>
      </c>
    </row>
    <row r="52">
      <c r="A52" s="1" t="s">
        <v>26</v>
      </c>
      <c r="D52" s="1" t="s">
        <v>24</v>
      </c>
    </row>
    <row r="53">
      <c r="G53" s="1" t="s">
        <v>27</v>
      </c>
      <c r="H53" s="2">
        <f>H44</f>
        <v>109000</v>
      </c>
      <c r="J53" s="1" t="s">
        <v>28</v>
      </c>
      <c r="K53" s="2">
        <f>B39*(1+B41)</f>
        <v>110000</v>
      </c>
      <c r="M53" s="1" t="s">
        <v>29</v>
      </c>
      <c r="N53" s="2">
        <f t="shared" ref="N53:N55" si="1">B45</f>
        <v>80000</v>
      </c>
      <c r="P53" s="1" t="s">
        <v>28</v>
      </c>
      <c r="Q53" s="2">
        <f>B39*(1+B41)</f>
        <v>110000</v>
      </c>
    </row>
    <row r="54">
      <c r="A54" s="1" t="s">
        <v>30</v>
      </c>
      <c r="B54" s="7">
        <f>B39</f>
        <v>100000</v>
      </c>
      <c r="D54" s="1" t="s">
        <v>28</v>
      </c>
      <c r="E54" s="2">
        <f>B54*(1+B41)</f>
        <v>110000</v>
      </c>
      <c r="G54" s="1" t="s">
        <v>31</v>
      </c>
      <c r="H54" s="2">
        <v>0.0</v>
      </c>
      <c r="J54" s="1" t="s">
        <v>32</v>
      </c>
      <c r="K54" s="5">
        <f>K53*19%</f>
        <v>20900</v>
      </c>
      <c r="M54" s="1" t="s">
        <v>14</v>
      </c>
      <c r="N54" s="2">
        <f t="shared" si="1"/>
        <v>19200</v>
      </c>
      <c r="P54" s="1" t="s">
        <v>32</v>
      </c>
      <c r="Q54" s="5">
        <f>Q53*19%</f>
        <v>20900</v>
      </c>
    </row>
    <row r="55">
      <c r="A55" s="1" t="s">
        <v>33</v>
      </c>
      <c r="B55" s="8">
        <f>B39*B40</f>
        <v>19000</v>
      </c>
      <c r="D55" s="1" t="s">
        <v>32</v>
      </c>
      <c r="E55" s="5">
        <f>E54*19%</f>
        <v>20900</v>
      </c>
      <c r="G55" s="1" t="s">
        <v>34</v>
      </c>
      <c r="H55" s="5">
        <f>B48*H47</f>
        <v>330</v>
      </c>
      <c r="M55" s="1" t="s">
        <v>16</v>
      </c>
      <c r="N55" s="5">
        <f t="shared" si="1"/>
        <v>800</v>
      </c>
    </row>
    <row r="56">
      <c r="G56" s="1" t="s">
        <v>35</v>
      </c>
      <c r="H56" s="5">
        <f>SUM(H53:H55)</f>
        <v>109330</v>
      </c>
      <c r="J56" s="1" t="s">
        <v>36</v>
      </c>
      <c r="K56" s="2">
        <f>K53+K54</f>
        <v>130900</v>
      </c>
      <c r="P56" s="1" t="s">
        <v>36</v>
      </c>
      <c r="Q56" s="2">
        <f>Q53+Q54</f>
        <v>130900</v>
      </c>
    </row>
    <row r="57">
      <c r="A57" s="1" t="s">
        <v>35</v>
      </c>
      <c r="B57" s="8">
        <f>SUM(B54:B55)</f>
        <v>119000</v>
      </c>
      <c r="D57" s="1" t="s">
        <v>37</v>
      </c>
      <c r="E57" s="5">
        <f>E54+E55</f>
        <v>130900</v>
      </c>
      <c r="M57" s="1" t="s">
        <v>38</v>
      </c>
      <c r="N57" s="5">
        <f>SUM(N53:N55)</f>
        <v>100000</v>
      </c>
    </row>
    <row r="59">
      <c r="G59" s="1" t="s">
        <v>39</v>
      </c>
      <c r="H59" s="5">
        <f>K54-H54-H55</f>
        <v>20570</v>
      </c>
      <c r="M59" s="1" t="s">
        <v>40</v>
      </c>
      <c r="N59" s="5">
        <f>B48*N44*(1-N47)</f>
        <v>600</v>
      </c>
    </row>
    <row r="60">
      <c r="A60" s="1" t="s">
        <v>41</v>
      </c>
      <c r="B60" s="5">
        <f>E55-B55</f>
        <v>1900</v>
      </c>
    </row>
    <row r="61">
      <c r="G61" s="1" t="s">
        <v>42</v>
      </c>
      <c r="M61" s="1" t="s">
        <v>43</v>
      </c>
      <c r="N61" s="5">
        <f>N57+N59</f>
        <v>100600</v>
      </c>
    </row>
    <row r="62">
      <c r="A62" s="1" t="s">
        <v>42</v>
      </c>
      <c r="M62" s="1" t="s">
        <v>44</v>
      </c>
      <c r="N62" s="5">
        <f>N45*N61</f>
        <v>19114</v>
      </c>
    </row>
    <row r="63">
      <c r="G63" s="9" t="s">
        <v>45</v>
      </c>
      <c r="H63" s="5">
        <f>-H56</f>
        <v>-109330</v>
      </c>
    </row>
    <row r="64">
      <c r="A64" s="9" t="s">
        <v>46</v>
      </c>
      <c r="B64" s="8">
        <f>-B57</f>
        <v>-119000</v>
      </c>
      <c r="G64" s="10" t="s">
        <v>47</v>
      </c>
      <c r="H64" s="5">
        <f>K56</f>
        <v>130900</v>
      </c>
      <c r="M64" s="1" t="s">
        <v>35</v>
      </c>
      <c r="N64" s="5">
        <f>SUM(N61:N62)</f>
        <v>119714</v>
      </c>
    </row>
    <row r="65">
      <c r="A65" s="10" t="s">
        <v>47</v>
      </c>
      <c r="B65" s="5">
        <f>E57</f>
        <v>130900</v>
      </c>
      <c r="G65" s="9" t="s">
        <v>48</v>
      </c>
      <c r="H65" s="5">
        <f>-H59</f>
        <v>-20570</v>
      </c>
    </row>
    <row r="66">
      <c r="A66" s="9" t="s">
        <v>48</v>
      </c>
      <c r="B66" s="5">
        <f>-B60</f>
        <v>-1900</v>
      </c>
      <c r="G66" s="1" t="s">
        <v>49</v>
      </c>
      <c r="H66" s="5">
        <f>SUM(H63:H65)</f>
        <v>1000</v>
      </c>
      <c r="M66" s="1" t="s">
        <v>50</v>
      </c>
      <c r="N66" s="5">
        <f>N62</f>
        <v>19114</v>
      </c>
    </row>
    <row r="67">
      <c r="A67" s="1" t="s">
        <v>49</v>
      </c>
      <c r="B67" s="8">
        <f>SUM(B64:B66)</f>
        <v>10000</v>
      </c>
    </row>
    <row r="68">
      <c r="G68" s="1" t="s">
        <v>51</v>
      </c>
    </row>
    <row r="69">
      <c r="A69" s="1" t="s">
        <v>51</v>
      </c>
      <c r="M69" s="1" t="s">
        <v>52</v>
      </c>
      <c r="N69" s="5">
        <f>Q54-N66</f>
        <v>1786</v>
      </c>
    </row>
    <row r="70">
      <c r="G70" s="10" t="s">
        <v>53</v>
      </c>
      <c r="H70" s="2">
        <f>K53</f>
        <v>110000</v>
      </c>
    </row>
    <row r="71">
      <c r="A71" s="10" t="s">
        <v>53</v>
      </c>
      <c r="B71" s="2">
        <f>B54*(1+B41)</f>
        <v>110000</v>
      </c>
      <c r="G71" s="9" t="s">
        <v>54</v>
      </c>
      <c r="H71" s="5">
        <f>H53</f>
        <v>109000</v>
      </c>
      <c r="M71" s="1" t="s">
        <v>42</v>
      </c>
    </row>
    <row r="72">
      <c r="A72" s="9" t="s">
        <v>54</v>
      </c>
      <c r="B72" s="8">
        <f>B54</f>
        <v>100000</v>
      </c>
      <c r="G72" s="1" t="s">
        <v>55</v>
      </c>
      <c r="H72" s="5">
        <f>H70-H71</f>
        <v>1000</v>
      </c>
    </row>
    <row r="73">
      <c r="A73" s="1" t="s">
        <v>55</v>
      </c>
      <c r="B73" s="5">
        <f>B71-B72</f>
        <v>10000</v>
      </c>
      <c r="M73" s="9" t="s">
        <v>45</v>
      </c>
      <c r="N73" s="5">
        <f>-N64</f>
        <v>-119714</v>
      </c>
    </row>
    <row r="74">
      <c r="G74" s="1" t="s">
        <v>56</v>
      </c>
      <c r="M74" s="10" t="s">
        <v>47</v>
      </c>
      <c r="N74" s="5">
        <f>Q56</f>
        <v>130900</v>
      </c>
    </row>
    <row r="75">
      <c r="A75" s="1" t="s">
        <v>56</v>
      </c>
      <c r="G75" s="1" t="s">
        <v>57</v>
      </c>
      <c r="H75" s="2">
        <f>H56</f>
        <v>109330</v>
      </c>
      <c r="M75" s="9" t="s">
        <v>48</v>
      </c>
      <c r="N75" s="5">
        <f>-N69</f>
        <v>-1786</v>
      </c>
    </row>
    <row r="76">
      <c r="A76" s="1" t="s">
        <v>58</v>
      </c>
      <c r="B76" s="7">
        <f>B57</f>
        <v>119000</v>
      </c>
      <c r="G76" s="1" t="s">
        <v>59</v>
      </c>
      <c r="H76" s="2">
        <f>H55</f>
        <v>330</v>
      </c>
      <c r="M76" s="1" t="s">
        <v>49</v>
      </c>
      <c r="N76" s="5">
        <f>SUM(N73:N75)</f>
        <v>9400</v>
      </c>
    </row>
    <row r="77">
      <c r="A77" s="1" t="s">
        <v>60</v>
      </c>
      <c r="B77" s="8">
        <f>B55</f>
        <v>19000</v>
      </c>
      <c r="G77" s="1" t="s">
        <v>61</v>
      </c>
      <c r="H77" s="11">
        <f>H55/H53</f>
        <v>0.003027522936</v>
      </c>
    </row>
    <row r="78">
      <c r="A78" s="1" t="s">
        <v>62</v>
      </c>
      <c r="B78" s="3">
        <f>B55/B54</f>
        <v>0.19</v>
      </c>
      <c r="M78" s="1" t="s">
        <v>51</v>
      </c>
    </row>
    <row r="79">
      <c r="A79" s="1" t="s">
        <v>63</v>
      </c>
      <c r="B79" s="12">
        <f>B49</f>
        <v>0</v>
      </c>
      <c r="C79" s="1" t="s">
        <v>21</v>
      </c>
    </row>
    <row r="80">
      <c r="A80" s="1" t="s">
        <v>64</v>
      </c>
      <c r="B80" s="1">
        <f>MAX(0,(B50)-(B49))</f>
        <v>0</v>
      </c>
      <c r="C80" s="1" t="s">
        <v>21</v>
      </c>
      <c r="M80" s="10" t="s">
        <v>53</v>
      </c>
      <c r="N80" s="2">
        <f>Q53</f>
        <v>110000</v>
      </c>
    </row>
    <row r="81">
      <c r="A81" s="1" t="s">
        <v>65</v>
      </c>
      <c r="B81" s="12">
        <f>IF(B80&gt;0,B76,0)</f>
        <v>0</v>
      </c>
      <c r="M81" s="9" t="s">
        <v>54</v>
      </c>
      <c r="N81" s="5">
        <f>B45+B46+B47+N59</f>
        <v>100600</v>
      </c>
    </row>
    <row r="82">
      <c r="C82" s="1"/>
      <c r="M82" s="1" t="s">
        <v>55</v>
      </c>
      <c r="N82" s="5">
        <f>N80-N81</f>
        <v>9400</v>
      </c>
    </row>
    <row r="84">
      <c r="M84" s="1" t="s">
        <v>56</v>
      </c>
    </row>
    <row r="85">
      <c r="M85" s="1" t="s">
        <v>57</v>
      </c>
      <c r="N85" s="2">
        <f>N64</f>
        <v>119714</v>
      </c>
    </row>
    <row r="86">
      <c r="M86" s="1" t="s">
        <v>66</v>
      </c>
      <c r="N86" s="2">
        <f>N62</f>
        <v>19114</v>
      </c>
    </row>
    <row r="87">
      <c r="M87" s="1" t="s">
        <v>67</v>
      </c>
      <c r="N87" s="5">
        <f>N59</f>
        <v>600</v>
      </c>
    </row>
    <row r="88">
      <c r="M88" s="1" t="s">
        <v>68</v>
      </c>
      <c r="N88" s="13">
        <f>N59/N57</f>
        <v>0.006</v>
      </c>
    </row>
    <row r="89">
      <c r="N89" s="11"/>
    </row>
  </sheetData>
  <drawing r:id="rId1"/>
</worksheet>
</file>